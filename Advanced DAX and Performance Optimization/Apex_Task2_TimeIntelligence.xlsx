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 Intelligence" sheetId="1" state="visible" r:id="rId1"/>
    <sheet xmlns:r="http://schemas.openxmlformats.org/officeDocument/2006/relationships" name="Trend Charts" sheetId="2" state="visible" r:id="rId2"/>
    <sheet xmlns:r="http://schemas.openxmlformats.org/officeDocument/2006/relationships" name="Insights &amp;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11827"/>
      <sz val="9"/>
    </font>
    <font>
      <name val="Consolas"/>
      <color rgb="001E3A5F"/>
      <sz val="9"/>
    </font>
    <font>
      <name val="Arial"/>
      <color rgb="00374151"/>
      <sz val="9"/>
    </font>
    <font>
      <name val="Arial"/>
      <color rgb="000E7490"/>
      <sz val="9"/>
    </font>
    <font>
      <name val="Arial"/>
      <b val="1"/>
      <color rgb="001F2937"/>
      <sz val="10"/>
    </font>
    <font>
      <name val="Arial"/>
      <color rgb="001F2937"/>
      <sz val="10"/>
    </font>
    <font>
      <name val="Arial"/>
      <b val="1"/>
      <color rgb="00FFFFFF"/>
      <sz val="9"/>
    </font>
    <font>
      <name val="Arial"/>
      <color rgb="001F2937"/>
      <sz val="9"/>
    </font>
    <font>
      <name val="Consolas"/>
      <color rgb="001E3A5F"/>
      <sz val="10"/>
    </font>
    <font>
      <name val="Arial"/>
      <color rgb="00374151"/>
      <sz val="10"/>
    </font>
    <font>
      <name val="Consolas"/>
      <color rgb="004C1D95"/>
      <sz val="10"/>
    </font>
    <font>
      <name val="Arial"/>
      <b val="1"/>
      <color rgb="00374151"/>
      <sz val="10"/>
    </font>
    <font>
      <name val="Arial"/>
      <color rgb="009CA3AF"/>
      <sz val="10"/>
    </font>
    <font>
      <name val="Arial"/>
      <color rgb="00166534"/>
      <sz val="10"/>
    </font>
    <font>
      <name val="Arial"/>
      <color rgb="0092400E"/>
      <sz val="10"/>
    </font>
  </fonts>
  <fills count="1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1E3A5F"/>
        <bgColor rgb="001E3A5F"/>
      </patternFill>
    </fill>
    <fill>
      <patternFill patternType="solid">
        <fgColor rgb="000F4C81"/>
        <bgColor rgb="000F4C81"/>
      </patternFill>
    </fill>
    <fill>
      <patternFill patternType="solid">
        <fgColor rgb="00FFFFFF"/>
        <bgColor rgb="00FFFFFF"/>
      </patternFill>
    </fill>
    <fill>
      <patternFill patternType="solid">
        <fgColor rgb="00F3F4F6"/>
        <bgColor rgb="00F3F4F6"/>
      </patternFill>
    </fill>
    <fill>
      <patternFill patternType="solid">
        <fgColor rgb="00134E4A"/>
        <bgColor rgb="00134E4A"/>
      </patternFill>
    </fill>
    <fill>
      <patternFill patternType="solid">
        <fgColor rgb="00374151"/>
        <bgColor rgb="00374151"/>
      </patternFill>
    </fill>
    <fill>
      <patternFill patternType="solid">
        <fgColor rgb="007F1D1D"/>
        <bgColor rgb="007F1D1D"/>
      </patternFill>
    </fill>
    <fill>
      <patternFill patternType="solid">
        <fgColor rgb="00166534"/>
        <bgColor rgb="00166534"/>
      </patternFill>
    </fill>
    <fill>
      <patternFill patternType="solid">
        <fgColor rgb="002D6A4F"/>
        <bgColor rgb="002D6A4F"/>
      </patternFill>
    </fill>
    <fill>
      <patternFill patternType="solid">
        <fgColor rgb="0092400E"/>
        <bgColor rgb="0092400E"/>
      </patternFill>
    </fill>
    <fill>
      <patternFill patternType="solid">
        <fgColor rgb="004C1D95"/>
        <bgColor rgb="004C1D9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center" vertical="top" wrapText="1"/>
    </xf>
    <xf numFmtId="0" fontId="3" fillId="7" borderId="0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right" vertical="center"/>
    </xf>
    <xf numFmtId="0" fontId="11" fillId="8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164" fontId="10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right" vertical="center"/>
    </xf>
    <xf numFmtId="0" fontId="11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4" fillId="13" borderId="0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164" fontId="12" fillId="6" borderId="1" applyAlignment="1" pivotButton="0" quotePrefix="0" xfId="0">
      <alignment horizontal="right" vertical="center"/>
    </xf>
    <xf numFmtId="164" fontId="12" fillId="5" borderId="1" applyAlignment="1" pivotButton="0" quotePrefix="0" xfId="0">
      <alignment horizontal="right" vertical="center"/>
    </xf>
    <xf numFmtId="0" fontId="4" fillId="13" borderId="1" applyAlignment="1" pivotButton="0" quotePrefix="0" xfId="0">
      <alignment horizontal="center" vertical="center" wrapText="1"/>
    </xf>
    <xf numFmtId="165" fontId="12" fillId="6" borderId="1" applyAlignment="1" pivotButton="0" quotePrefix="0" xfId="0">
      <alignment horizontal="right" vertical="center"/>
    </xf>
    <xf numFmtId="165" fontId="12" fillId="5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left" vertical="center"/>
    </xf>
    <xf numFmtId="0" fontId="0" fillId="5" borderId="0" pivotButton="0" quotePrefix="0" xfId="0"/>
    <xf numFmtId="0" fontId="3" fillId="13" borderId="0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left" vertical="center"/>
    </xf>
    <xf numFmtId="0" fontId="18" fillId="5" borderId="1" applyAlignment="1" pivotButton="0" quotePrefix="0" xfId="0">
      <alignment horizontal="left" vertical="center"/>
    </xf>
    <xf numFmtId="0" fontId="19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YTD Cumulative Revenue by Quarter — 2020 to 2024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'Trend Charts'!C4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'Trend Charts'!$B$5:$B$8</f>
            </numRef>
          </cat>
          <val>
            <numRef>
              <f>'Trend Charts'!$C$5:$C$8</f>
            </numRef>
          </val>
        </ser>
        <ser>
          <idx val="1"/>
          <order val="1"/>
          <tx>
            <strRef>
              <f>'Trend Charts'!D4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'Trend Charts'!$B$5:$B$8</f>
            </numRef>
          </cat>
          <val>
            <numRef>
              <f>'Trend Charts'!$D$5:$D$8</f>
            </numRef>
          </val>
        </ser>
        <ser>
          <idx val="2"/>
          <order val="2"/>
          <tx>
            <strRef>
              <f>'Trend Charts'!E4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'Trend Charts'!$B$5:$B$8</f>
            </numRef>
          </cat>
          <val>
            <numRef>
              <f>'Trend Charts'!$E$5:$E$8</f>
            </numRef>
          </val>
        </ser>
        <ser>
          <idx val="3"/>
          <order val="3"/>
          <tx>
            <strRef>
              <f>'Trend Charts'!F4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'Trend Charts'!$B$5:$B$8</f>
            </numRef>
          </cat>
          <val>
            <numRef>
              <f>'Trend Charts'!$F$5:$F$8</f>
            </numRef>
          </val>
        </ser>
        <ser>
          <idx val="4"/>
          <order val="4"/>
          <tx>
            <strRef>
              <f>'Trend Charts'!G4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'Trend Charts'!$B$5:$B$8</f>
            </numRef>
          </cat>
          <val>
            <numRef>
              <f>'Trend Charts'!$G$5:$G$8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YTD Revenue ($)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YoY Revenue Growth % by Quarter — 2021 to 2024</a:t>
            </a:r>
          </a:p>
        </rich>
      </tx>
    </title>
    <plotArea>
      <lineChart>
        <grouping val="standard"/>
        <ser>
          <idx val="0"/>
          <order val="0"/>
          <tx>
            <strRef>
              <f>'Trend Charts'!C11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 Charts'!$B$12:$B$15</f>
            </numRef>
          </cat>
          <val>
            <numRef>
              <f>'Trend Charts'!$C$12:$C$15</f>
            </numRef>
          </val>
        </ser>
        <ser>
          <idx val="1"/>
          <order val="1"/>
          <tx>
            <strRef>
              <f>'Trend Charts'!D11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 Charts'!$B$12:$B$15</f>
            </numRef>
          </cat>
          <val>
            <numRef>
              <f>'Trend Charts'!$D$12:$D$15</f>
            </numRef>
          </val>
        </ser>
        <ser>
          <idx val="2"/>
          <order val="2"/>
          <tx>
            <strRef>
              <f>'Trend Charts'!E11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 Charts'!$B$12:$B$15</f>
            </numRef>
          </cat>
          <val>
            <numRef>
              <f>'Trend Charts'!$E$12:$E$15</f>
            </numRef>
          </val>
        </ser>
        <ser>
          <idx val="3"/>
          <order val="3"/>
          <tx>
            <strRef>
              <f>'Trend Charts'!F11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 Charts'!$B$12:$B$15</f>
            </numRef>
          </cat>
          <val>
            <numRef>
              <f>'Trend Charts'!$F$12:$F$15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YoY Growth 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16</row>
      <rowOff>0</rowOff>
    </from>
    <ext cx="936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49</row>
      <rowOff>0</rowOff>
    </from>
    <ext cx="936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8" customWidth="1" min="3" max="3"/>
    <col width="18" customWidth="1" min="4" max="4"/>
    <col width="18" customWidth="1" min="5" max="5"/>
    <col width="16" customWidth="1" min="6" max="6"/>
    <col width="14" customWidth="1" min="7" max="7"/>
    <col width="2" customWidth="1" min="8" max="8"/>
  </cols>
  <sheetData>
    <row r="1">
      <c r="A1" s="1" t="inlineStr">
        <is>
          <t>APEX GLOBAL ENTERPRISES — TIME INTELLIGENCE &amp; VARIANCE ANALYSIS</t>
        </is>
      </c>
    </row>
    <row r="2">
      <c r="A2" s="2" t="inlineStr">
        <is>
          <t>Task 2: YTD Revenue · YoY Growth %  |  TOTALYTD + SAMEPERIODLASTYEAR  |  Q4 Budget Review</t>
        </is>
      </c>
    </row>
    <row r="3">
      <c r="B3" s="3" t="inlineStr">
        <is>
          <t>DAX MEASURES — TIME INTELLIGENCE</t>
        </is>
      </c>
    </row>
    <row r="4" ht="22" customHeight="1">
      <c r="B4" s="4" t="inlineStr">
        <is>
          <t>Measure</t>
        </is>
      </c>
      <c r="C4" s="4" t="inlineStr">
        <is>
          <t>DAX Formula</t>
        </is>
      </c>
      <c r="D4" s="4" t="inlineStr">
        <is>
          <t>Business Purpose</t>
        </is>
      </c>
      <c r="E4" s="4" t="inlineStr">
        <is>
          <t>Key Function</t>
        </is>
      </c>
    </row>
    <row r="5" ht="85" customHeight="1">
      <c r="B5" s="5" t="inlineStr">
        <is>
          <t>YTD Revenue</t>
        </is>
      </c>
      <c r="C5" s="6" t="inlineStr">
        <is>
          <t>YTD Revenue =
TOTALYTD(
  SUM(Sales[Revenue]),
  'Date'[Date]
)</t>
        </is>
      </c>
      <c r="D5" s="7" t="inlineStr">
        <is>
          <t>Accumulates revenue from Jan 1 to the last date in the current filter context. Requires active relationship between Sales[Date] and 'Date'[Date] for correct time axis behavior.</t>
        </is>
      </c>
      <c r="E5" s="8" t="inlineStr">
        <is>
          <t>TOTALYTD</t>
        </is>
      </c>
    </row>
    <row r="6" ht="85" customHeight="1">
      <c r="B6" s="9" t="inlineStr">
        <is>
          <t>YoY Growth %</t>
        </is>
      </c>
      <c r="C6" s="10" t="inlineStr">
        <is>
          <t>YoY Growth % =
VAR _Curr = [Total Revenue]
VAR _Prior =
  CALCULATE(
    [Total Revenue],
    SAMEPERIODLASTYEAR(
      'Date'[Date]))
RETURN
  IF(ISBLANK(_Prior), BLANK(),
  DIVIDE(_Curr-_Prior,_Prior,BLANK()))</t>
        </is>
      </c>
      <c r="D6" s="11" t="inlineStr">
        <is>
          <t>Shifts filter context 12 months back using SAMEPERIODLASTYEAR. VAR pattern evaluates each measure once per context. BLANK() guard suppresses spurious 0% for the baseline year (2020).</t>
        </is>
      </c>
      <c r="E6" s="12" t="inlineStr">
        <is>
          <t>SAMEPERIODLASTYEAR</t>
        </is>
      </c>
    </row>
    <row r="7" ht="85" customHeight="1">
      <c r="B7" s="5" t="inlineStr">
        <is>
          <t>Prior Year Rev</t>
        </is>
      </c>
      <c r="C7" s="6" t="inlineStr">
        <is>
          <t>Prior Year Revenue =
CALCULATE(
  [Total Revenue],
  SAMEPERIODLASTYEAR(
    'Date'[Date])
)</t>
        </is>
      </c>
      <c r="D7" s="7" t="inlineStr">
        <is>
          <t>Helper measure returning the absolute prior-year revenue value. Used as a denominator reference and for side-by-side variance comparison in executive matrix visuals.</t>
        </is>
      </c>
      <c r="E7" s="8" t="inlineStr">
        <is>
          <t>CALCULATE</t>
        </is>
      </c>
    </row>
    <row r="8" ht="85" customHeight="1">
      <c r="B8" s="9" t="inlineStr">
        <is>
          <t>Revenue Var $</t>
        </is>
      </c>
      <c r="C8" s="10" t="inlineStr">
        <is>
          <t>Revenue Variance $ =
[Total Revenue]
  - [Prior Year Revenue]</t>
        </is>
      </c>
      <c r="D8" s="11" t="inlineStr">
        <is>
          <t>Absolute dollar variance vs prior year. Paired with YoY Growth % to convey both magnitude and rate of change — essential for Q4 budget review decision-making.</t>
        </is>
      </c>
      <c r="E8" s="12" t="inlineStr">
        <is>
          <t>Arithmetic</t>
        </is>
      </c>
    </row>
    <row r="10">
      <c r="B10" s="13" t="inlineStr">
        <is>
          <t>QUARTERLY DATA — YTD Revenue &amp; YoY Growth %</t>
        </is>
      </c>
    </row>
    <row r="11" ht="22" customHeight="1">
      <c r="B11" s="14" t="inlineStr">
        <is>
          <t>Period</t>
        </is>
      </c>
      <c r="C11" s="14" t="inlineStr">
        <is>
          <t>Quarterly Revenue ($)</t>
        </is>
      </c>
      <c r="D11" s="14" t="inlineStr">
        <is>
          <t>YTD Revenue ($)</t>
        </is>
      </c>
      <c r="E11" s="14" t="inlineStr">
        <is>
          <t>Prior Yr Revenue ($)</t>
        </is>
      </c>
      <c r="F11" s="14" t="inlineStr">
        <is>
          <t>YoY Growth %</t>
        </is>
      </c>
      <c r="G11" s="14" t="inlineStr">
        <is>
          <t>Signal</t>
        </is>
      </c>
    </row>
    <row r="12" ht="18" customHeight="1">
      <c r="B12" s="15" t="inlineStr">
        <is>
          <t>2020 Q1</t>
        </is>
      </c>
      <c r="C12" s="16" t="n">
        <v>181322.32</v>
      </c>
      <c r="D12" s="16" t="n">
        <v>181322.32</v>
      </c>
      <c r="E12" s="17" t="n"/>
      <c r="F12" s="18" t="inlineStr">
        <is>
          <t>—</t>
        </is>
      </c>
      <c r="G12" s="18" t="inlineStr">
        <is>
          <t>— Baseline</t>
        </is>
      </c>
    </row>
    <row r="13" ht="18" customHeight="1">
      <c r="B13" s="19" t="inlineStr">
        <is>
          <t>2020 Q2</t>
        </is>
      </c>
      <c r="C13" s="20" t="n">
        <v>202845.63</v>
      </c>
      <c r="D13" s="20" t="n">
        <v>384167.95</v>
      </c>
      <c r="E13" s="21" t="n"/>
      <c r="F13" s="18" t="inlineStr">
        <is>
          <t>—</t>
        </is>
      </c>
      <c r="G13" s="18" t="inlineStr">
        <is>
          <t>— Baseline</t>
        </is>
      </c>
    </row>
    <row r="14" ht="18" customHeight="1">
      <c r="B14" s="15" t="inlineStr">
        <is>
          <t>2020 Q3</t>
        </is>
      </c>
      <c r="C14" s="16" t="n">
        <v>145897.59</v>
      </c>
      <c r="D14" s="16" t="n">
        <v>530065.54</v>
      </c>
      <c r="E14" s="17" t="n"/>
      <c r="F14" s="18" t="inlineStr">
        <is>
          <t>—</t>
        </is>
      </c>
      <c r="G14" s="18" t="inlineStr">
        <is>
          <t>— Baseline</t>
        </is>
      </c>
    </row>
    <row r="15" ht="18" customHeight="1">
      <c r="B15" s="19" t="inlineStr">
        <is>
          <t>2020 Q4</t>
        </is>
      </c>
      <c r="C15" s="20" t="n">
        <v>154584.61</v>
      </c>
      <c r="D15" s="20" t="n">
        <v>684650.15</v>
      </c>
      <c r="E15" s="21" t="n"/>
      <c r="F15" s="18" t="inlineStr">
        <is>
          <t>—</t>
        </is>
      </c>
      <c r="G15" s="18" t="inlineStr">
        <is>
          <t>— Baseline</t>
        </is>
      </c>
    </row>
    <row r="16" ht="18" customHeight="1">
      <c r="B16" s="15" t="inlineStr">
        <is>
          <t>2021 Q1</t>
        </is>
      </c>
      <c r="C16" s="16" t="n">
        <v>152661</v>
      </c>
      <c r="D16" s="16" t="n">
        <v>152661</v>
      </c>
      <c r="E16" s="16" t="n">
        <v>181322.32</v>
      </c>
      <c r="F16" s="22" t="inlineStr">
        <is>
          <t>-15.8%</t>
        </is>
      </c>
      <c r="G16" s="22" t="inlineStr">
        <is>
          <t>▼▼ Decline</t>
        </is>
      </c>
    </row>
    <row r="17" ht="18" customHeight="1">
      <c r="B17" s="19" t="inlineStr">
        <is>
          <t>2021 Q2</t>
        </is>
      </c>
      <c r="C17" s="20" t="n">
        <v>180159.3</v>
      </c>
      <c r="D17" s="20" t="n">
        <v>332820.3</v>
      </c>
      <c r="E17" s="20" t="n">
        <v>202845.63</v>
      </c>
      <c r="F17" s="22" t="inlineStr">
        <is>
          <t>-11.2%</t>
        </is>
      </c>
      <c r="G17" s="22" t="inlineStr">
        <is>
          <t>▼▼ Decline</t>
        </is>
      </c>
    </row>
    <row r="18" ht="18" customHeight="1">
      <c r="B18" s="15" t="inlineStr">
        <is>
          <t>2021 Q3</t>
        </is>
      </c>
      <c r="C18" s="16" t="n">
        <v>206077.59</v>
      </c>
      <c r="D18" s="16" t="n">
        <v>538897.89</v>
      </c>
      <c r="E18" s="16" t="n">
        <v>145897.59</v>
      </c>
      <c r="F18" s="23" t="inlineStr">
        <is>
          <t>+41.2%</t>
        </is>
      </c>
      <c r="G18" s="23" t="inlineStr">
        <is>
          <t>▲▲ Strong</t>
        </is>
      </c>
    </row>
    <row r="19" ht="18" customHeight="1">
      <c r="B19" s="19" t="inlineStr">
        <is>
          <t>2021 Q4</t>
        </is>
      </c>
      <c r="C19" s="20" t="n">
        <v>191662.85</v>
      </c>
      <c r="D19" s="20" t="n">
        <v>730560.74</v>
      </c>
      <c r="E19" s="20" t="n">
        <v>154584.61</v>
      </c>
      <c r="F19" s="23" t="inlineStr">
        <is>
          <t>+24.0%</t>
        </is>
      </c>
      <c r="G19" s="23" t="inlineStr">
        <is>
          <t>▲▲ Strong</t>
        </is>
      </c>
    </row>
    <row r="20" ht="18" customHeight="1">
      <c r="B20" s="15" t="inlineStr">
        <is>
          <t>2022 Q1</t>
        </is>
      </c>
      <c r="C20" s="16" t="n">
        <v>166506.69</v>
      </c>
      <c r="D20" s="16" t="n">
        <v>166506.69</v>
      </c>
      <c r="E20" s="16" t="n">
        <v>152661</v>
      </c>
      <c r="F20" s="24" t="inlineStr">
        <is>
          <t>+9.1%</t>
        </is>
      </c>
      <c r="G20" s="24" t="inlineStr">
        <is>
          <t>▲ Positive</t>
        </is>
      </c>
    </row>
    <row r="21" ht="18" customHeight="1">
      <c r="B21" s="19" t="inlineStr">
        <is>
          <t>2022 Q2</t>
        </is>
      </c>
      <c r="C21" s="20" t="n">
        <v>246182.62</v>
      </c>
      <c r="D21" s="20" t="n">
        <v>412689.31</v>
      </c>
      <c r="E21" s="20" t="n">
        <v>180159.3</v>
      </c>
      <c r="F21" s="23" t="inlineStr">
        <is>
          <t>+36.6%</t>
        </is>
      </c>
      <c r="G21" s="23" t="inlineStr">
        <is>
          <t>▲▲ Strong</t>
        </is>
      </c>
    </row>
    <row r="22" ht="18" customHeight="1">
      <c r="B22" s="15" t="inlineStr">
        <is>
          <t>2022 Q3</t>
        </is>
      </c>
      <c r="C22" s="16" t="n">
        <v>174550.05</v>
      </c>
      <c r="D22" s="16" t="n">
        <v>587239.36</v>
      </c>
      <c r="E22" s="16" t="n">
        <v>206077.59</v>
      </c>
      <c r="F22" s="22" t="inlineStr">
        <is>
          <t>-15.3%</t>
        </is>
      </c>
      <c r="G22" s="22" t="inlineStr">
        <is>
          <t>▼▼ Decline</t>
        </is>
      </c>
    </row>
    <row r="23" ht="18" customHeight="1">
      <c r="B23" s="19" t="inlineStr">
        <is>
          <t>2022 Q4</t>
        </is>
      </c>
      <c r="C23" s="20" t="n">
        <v>113777.88</v>
      </c>
      <c r="D23" s="20" t="n">
        <v>701017.24</v>
      </c>
      <c r="E23" s="20" t="n">
        <v>191662.85</v>
      </c>
      <c r="F23" s="22" t="inlineStr">
        <is>
          <t>-40.6%</t>
        </is>
      </c>
      <c r="G23" s="22" t="inlineStr">
        <is>
          <t>▼▼ Decline</t>
        </is>
      </c>
    </row>
    <row r="24" ht="18" customHeight="1">
      <c r="B24" s="15" t="inlineStr">
        <is>
          <t>2023 Q1</t>
        </is>
      </c>
      <c r="C24" s="16" t="n">
        <v>155150.82</v>
      </c>
      <c r="D24" s="16" t="n">
        <v>155150.82</v>
      </c>
      <c r="E24" s="16" t="n">
        <v>166506.69</v>
      </c>
      <c r="F24" s="25" t="inlineStr">
        <is>
          <t>-6.8%</t>
        </is>
      </c>
      <c r="G24" s="25" t="inlineStr">
        <is>
          <t>▼ Slight</t>
        </is>
      </c>
    </row>
    <row r="25" ht="18" customHeight="1">
      <c r="B25" s="19" t="inlineStr">
        <is>
          <t>2023 Q2</t>
        </is>
      </c>
      <c r="C25" s="20" t="n">
        <v>184956.79</v>
      </c>
      <c r="D25" s="20" t="n">
        <v>340107.61</v>
      </c>
      <c r="E25" s="20" t="n">
        <v>246182.62</v>
      </c>
      <c r="F25" s="22" t="inlineStr">
        <is>
          <t>-24.9%</t>
        </is>
      </c>
      <c r="G25" s="22" t="inlineStr">
        <is>
          <t>▼▼ Decline</t>
        </is>
      </c>
    </row>
    <row r="26" ht="18" customHeight="1">
      <c r="B26" s="15" t="inlineStr">
        <is>
          <t>2023 Q3</t>
        </is>
      </c>
      <c r="C26" s="16" t="n">
        <v>181463.4</v>
      </c>
      <c r="D26" s="16" t="n">
        <v>521571.01</v>
      </c>
      <c r="E26" s="16" t="n">
        <v>174550.05</v>
      </c>
      <c r="F26" s="24" t="inlineStr">
        <is>
          <t>+4.0%</t>
        </is>
      </c>
      <c r="G26" s="24" t="inlineStr">
        <is>
          <t>▲ Positive</t>
        </is>
      </c>
    </row>
    <row r="27" ht="18" customHeight="1">
      <c r="B27" s="19" t="inlineStr">
        <is>
          <t>2023 Q4</t>
        </is>
      </c>
      <c r="C27" s="20" t="n">
        <v>153593.52</v>
      </c>
      <c r="D27" s="20" t="n">
        <v>675164.53</v>
      </c>
      <c r="E27" s="20" t="n">
        <v>113777.88</v>
      </c>
      <c r="F27" s="23" t="inlineStr">
        <is>
          <t>+35.0%</t>
        </is>
      </c>
      <c r="G27" s="23" t="inlineStr">
        <is>
          <t>▲▲ Strong</t>
        </is>
      </c>
    </row>
    <row r="28" ht="18" customHeight="1">
      <c r="B28" s="15" t="inlineStr">
        <is>
          <t>2024 Q1</t>
        </is>
      </c>
      <c r="C28" s="16" t="n">
        <v>144569.56</v>
      </c>
      <c r="D28" s="16" t="n">
        <v>144569.56</v>
      </c>
      <c r="E28" s="16" t="n">
        <v>155150.82</v>
      </c>
      <c r="F28" s="25" t="inlineStr">
        <is>
          <t>-6.8%</t>
        </is>
      </c>
      <c r="G28" s="25" t="inlineStr">
        <is>
          <t>▼ Slight</t>
        </is>
      </c>
    </row>
    <row r="29" ht="18" customHeight="1">
      <c r="B29" s="19" t="inlineStr">
        <is>
          <t>2024 Q2</t>
        </is>
      </c>
      <c r="C29" s="20" t="n">
        <v>168295.14</v>
      </c>
      <c r="D29" s="20" t="n">
        <v>312864.7</v>
      </c>
      <c r="E29" s="20" t="n">
        <v>184956.79</v>
      </c>
      <c r="F29" s="25" t="inlineStr">
        <is>
          <t>-9.0%</t>
        </is>
      </c>
      <c r="G29" s="25" t="inlineStr">
        <is>
          <t>▼ Slight</t>
        </is>
      </c>
    </row>
    <row r="30" ht="18" customHeight="1">
      <c r="B30" s="15" t="inlineStr">
        <is>
          <t>2024 Q3</t>
        </is>
      </c>
      <c r="C30" s="16" t="n">
        <v>180456.05</v>
      </c>
      <c r="D30" s="16" t="n">
        <v>493320.75</v>
      </c>
      <c r="E30" s="16" t="n">
        <v>181463.4</v>
      </c>
      <c r="F30" s="25" t="inlineStr">
        <is>
          <t>-0.6%</t>
        </is>
      </c>
      <c r="G30" s="25" t="inlineStr">
        <is>
          <t>▼ Slight</t>
        </is>
      </c>
    </row>
    <row r="31" ht="18" customHeight="1">
      <c r="B31" s="19" t="inlineStr">
        <is>
          <t>2024 Q4</t>
        </is>
      </c>
      <c r="C31" s="20" t="n">
        <v>198113.21</v>
      </c>
      <c r="D31" s="20" t="n">
        <v>691433.96</v>
      </c>
      <c r="E31" s="20" t="n">
        <v>153593.52</v>
      </c>
      <c r="F31" s="23" t="inlineStr">
        <is>
          <t>+29.0%</t>
        </is>
      </c>
      <c r="G31" s="23" t="inlineStr">
        <is>
          <t>▲▲ Strong</t>
        </is>
      </c>
    </row>
    <row r="33">
      <c r="B33" s="26" t="inlineStr">
        <is>
          <t>ANNUAL YoY SUMMARY</t>
        </is>
      </c>
    </row>
    <row r="34" ht="20" customHeight="1">
      <c r="B34" s="27" t="inlineStr">
        <is>
          <t>Year</t>
        </is>
      </c>
      <c r="C34" s="27" t="inlineStr">
        <is>
          <t>Annual Revenue</t>
        </is>
      </c>
      <c r="D34" s="27" t="inlineStr">
        <is>
          <t>Prior Year Rev</t>
        </is>
      </c>
      <c r="E34" s="27" t="inlineStr">
        <is>
          <t>YoY Growth %</t>
        </is>
      </c>
      <c r="F34" s="27" t="inlineStr">
        <is>
          <t>Status</t>
        </is>
      </c>
    </row>
    <row r="35" ht="18" customHeight="1">
      <c r="B35" s="15" t="n">
        <v>2020</v>
      </c>
      <c r="C35" s="16" t="n">
        <v>684650.15</v>
      </c>
      <c r="D35" s="17" t="n"/>
      <c r="E35" s="17" t="inlineStr">
        <is>
          <t>Base Year</t>
        </is>
      </c>
      <c r="F35" s="15" t="inlineStr">
        <is>
          <t>📌 Baseline</t>
        </is>
      </c>
    </row>
    <row r="36" ht="18" customHeight="1">
      <c r="B36" s="19" t="n">
        <v>2021</v>
      </c>
      <c r="C36" s="20" t="n">
        <v>730560.74</v>
      </c>
      <c r="D36" s="20" t="n">
        <v>684650.15</v>
      </c>
      <c r="E36" s="21" t="inlineStr">
        <is>
          <t>+6.71%</t>
        </is>
      </c>
      <c r="F36" s="19" t="inlineStr">
        <is>
          <t>✅ Growth</t>
        </is>
      </c>
    </row>
    <row r="37" ht="18" customHeight="1">
      <c r="B37" s="15" t="n">
        <v>2022</v>
      </c>
      <c r="C37" s="16" t="n">
        <v>701017.24</v>
      </c>
      <c r="D37" s="16" t="n">
        <v>730560.74</v>
      </c>
      <c r="E37" s="17" t="inlineStr">
        <is>
          <t>-4.04%</t>
        </is>
      </c>
      <c r="F37" s="15" t="inlineStr">
        <is>
          <t>⚠️ Decline</t>
        </is>
      </c>
    </row>
    <row r="38" ht="18" customHeight="1">
      <c r="B38" s="19" t="n">
        <v>2023</v>
      </c>
      <c r="C38" s="20" t="n">
        <v>675164.53</v>
      </c>
      <c r="D38" s="20" t="n">
        <v>701017.24</v>
      </c>
      <c r="E38" s="21" t="inlineStr">
        <is>
          <t>-3.69%</t>
        </is>
      </c>
      <c r="F38" s="19" t="inlineStr">
        <is>
          <t>⚠️ Decline</t>
        </is>
      </c>
    </row>
    <row r="39" ht="18" customHeight="1">
      <c r="B39" s="15" t="n">
        <v>2024</v>
      </c>
      <c r="C39" s="16" t="n">
        <v>691433.96</v>
      </c>
      <c r="D39" s="16" t="n">
        <v>675164.53</v>
      </c>
      <c r="E39" s="17" t="inlineStr">
        <is>
          <t>+2.41%</t>
        </is>
      </c>
      <c r="F39" s="15" t="inlineStr">
        <is>
          <t>✅ Growth</t>
        </is>
      </c>
    </row>
  </sheetData>
  <mergeCells count="5">
    <mergeCell ref="B3:G3"/>
    <mergeCell ref="B10:G10"/>
    <mergeCell ref="A2:H2"/>
    <mergeCell ref="A1:H1"/>
    <mergeCell ref="B33:G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" customWidth="1" min="7" max="7"/>
  </cols>
  <sheetData>
    <row r="1">
      <c r="A1" s="1" t="inlineStr">
        <is>
          <t>APEX GLOBAL ENTERPRISES — YTD REVENUE &amp; YoY GROWTH CHARTS</t>
        </is>
      </c>
    </row>
    <row r="2">
      <c r="A2" s="2" t="inlineStr">
        <is>
          <t>Time Intelligence Visualizations  |  2020–2024  |  TOTALYTD + SAMEPERIODLASTYEAR</t>
        </is>
      </c>
    </row>
    <row r="3">
      <c r="B3" s="28" t="inlineStr">
        <is>
          <t>YTD REVENUE BY YEAR (Pivot for Chart 1 — YTD Revenue Bar Chart)</t>
        </is>
      </c>
    </row>
    <row r="4" ht="20" customHeight="1">
      <c r="B4" s="14" t="inlineStr">
        <is>
          <t>Quarter</t>
        </is>
      </c>
      <c r="C4" s="14" t="inlineStr">
        <is>
          <t>2020</t>
        </is>
      </c>
      <c r="D4" s="14" t="inlineStr">
        <is>
          <t>2021</t>
        </is>
      </c>
      <c r="E4" s="14" t="inlineStr">
        <is>
          <t>2022</t>
        </is>
      </c>
      <c r="F4" s="14" t="inlineStr">
        <is>
          <t>2023</t>
        </is>
      </c>
      <c r="G4" s="14" t="inlineStr">
        <is>
          <t>2024</t>
        </is>
      </c>
    </row>
    <row r="5" ht="18" customHeight="1">
      <c r="B5" s="19" t="inlineStr">
        <is>
          <t>Q1</t>
        </is>
      </c>
      <c r="C5" s="29" t="n">
        <v>181322.32</v>
      </c>
      <c r="D5" s="29" t="n">
        <v>152661</v>
      </c>
      <c r="E5" s="29" t="n">
        <v>166506.69</v>
      </c>
      <c r="F5" s="29" t="n">
        <v>155150.82</v>
      </c>
      <c r="G5" s="29" t="n">
        <v>144569.56</v>
      </c>
    </row>
    <row r="6" ht="18" customHeight="1">
      <c r="B6" s="19" t="inlineStr">
        <is>
          <t>Q2</t>
        </is>
      </c>
      <c r="C6" s="30" t="n">
        <v>384167.95</v>
      </c>
      <c r="D6" s="30" t="n">
        <v>332820.3</v>
      </c>
      <c r="E6" s="30" t="n">
        <v>412689.31</v>
      </c>
      <c r="F6" s="30" t="n">
        <v>340107.61</v>
      </c>
      <c r="G6" s="30" t="n">
        <v>312864.7</v>
      </c>
    </row>
    <row r="7" ht="18" customHeight="1">
      <c r="B7" s="19" t="inlineStr">
        <is>
          <t>Q3</t>
        </is>
      </c>
      <c r="C7" s="29" t="n">
        <v>530065.54</v>
      </c>
      <c r="D7" s="29" t="n">
        <v>538897.89</v>
      </c>
      <c r="E7" s="29" t="n">
        <v>587239.36</v>
      </c>
      <c r="F7" s="29" t="n">
        <v>521571.01</v>
      </c>
      <c r="G7" s="29" t="n">
        <v>493320.75</v>
      </c>
    </row>
    <row r="8" ht="18" customHeight="1">
      <c r="B8" s="19" t="inlineStr">
        <is>
          <t>Q4</t>
        </is>
      </c>
      <c r="C8" s="30" t="n">
        <v>684650.15</v>
      </c>
      <c r="D8" s="30" t="n">
        <v>730560.74</v>
      </c>
      <c r="E8" s="30" t="n">
        <v>701017.24</v>
      </c>
      <c r="F8" s="30" t="n">
        <v>675164.53</v>
      </c>
      <c r="G8" s="30" t="n">
        <v>691433.96</v>
      </c>
    </row>
    <row r="10">
      <c r="B10" s="26" t="inlineStr">
        <is>
          <t>YoY GROWTH % (Pivot for Chart 2 — YoY Line Chart, 2021–2024 only)</t>
        </is>
      </c>
    </row>
    <row r="11" ht="20" customHeight="1">
      <c r="B11" s="31" t="inlineStr">
        <is>
          <t>Quarter</t>
        </is>
      </c>
      <c r="C11" s="31" t="inlineStr">
        <is>
          <t>2021</t>
        </is>
      </c>
      <c r="D11" s="31" t="inlineStr">
        <is>
          <t>2022</t>
        </is>
      </c>
      <c r="E11" s="31" t="inlineStr">
        <is>
          <t>2023</t>
        </is>
      </c>
      <c r="F11" s="31" t="inlineStr">
        <is>
          <t>2024</t>
        </is>
      </c>
    </row>
    <row r="12" ht="18" customHeight="1">
      <c r="B12" s="19" t="inlineStr">
        <is>
          <t>Q1</t>
        </is>
      </c>
      <c r="C12" s="32" t="n">
        <v>-0.1580683503277479</v>
      </c>
      <c r="D12" s="32" t="n">
        <v>0.09069565900917721</v>
      </c>
      <c r="E12" s="32" t="n">
        <v>-0.06820068310768772</v>
      </c>
      <c r="F12" s="32" t="n">
        <v>-0.06819983291097018</v>
      </c>
    </row>
    <row r="13" ht="18" customHeight="1">
      <c r="B13" s="19" t="inlineStr">
        <is>
          <t>Q2</t>
        </is>
      </c>
      <c r="C13" s="33" t="n">
        <v>-0.111840368461475</v>
      </c>
      <c r="D13" s="33" t="n">
        <v>0.3664718945955053</v>
      </c>
      <c r="E13" s="33" t="n">
        <v>-0.2487008627985192</v>
      </c>
      <c r="F13" s="33" t="n">
        <v>-0.09008401367692417</v>
      </c>
    </row>
    <row r="14" ht="18" customHeight="1">
      <c r="B14" s="19" t="inlineStr">
        <is>
          <t>Q3</t>
        </is>
      </c>
      <c r="C14" s="32" t="n">
        <v>0.4124811108942923</v>
      </c>
      <c r="D14" s="32" t="n">
        <v>-0.15298868741623</v>
      </c>
      <c r="E14" s="32" t="n">
        <v>0.03960669160507262</v>
      </c>
      <c r="F14" s="32" t="n">
        <v>-0.00555125716811217</v>
      </c>
    </row>
    <row r="15" ht="18" customHeight="1">
      <c r="B15" s="19" t="inlineStr">
        <is>
          <t>Q4</t>
        </is>
      </c>
      <c r="C15" s="33" t="n">
        <v>0.2398572535778304</v>
      </c>
      <c r="D15" s="33" t="n">
        <v>-0.406364457170495</v>
      </c>
      <c r="E15" s="33" t="n">
        <v>0.3499418340366333</v>
      </c>
      <c r="F15" s="33" t="n">
        <v>0.2898539599847702</v>
      </c>
    </row>
  </sheetData>
  <mergeCells count="4">
    <mergeCell ref="B3:G3"/>
    <mergeCell ref="A2:G2"/>
    <mergeCell ref="B10:G10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8" customWidth="1" min="2" max="2"/>
    <col width="3" customWidth="1" min="3" max="3"/>
  </cols>
  <sheetData>
    <row r="1">
      <c r="A1" s="1" t="inlineStr">
        <is>
          <t>APEX GLOBAL ENTERPRISES — TIME INTELLIGENCE BUSINESS INSIGHTS</t>
        </is>
      </c>
    </row>
    <row r="2">
      <c r="A2" s="2" t="inlineStr">
        <is>
          <t>Task 2 · Written Summary + Key Findings  |  DAX TOTALYTD &amp; SAMEPERIODLASTYEAR</t>
        </is>
      </c>
    </row>
    <row r="4" ht="24" customHeight="1">
      <c r="B4" s="13" t="inlineStr">
        <is>
          <t xml:space="preserve">  YTD REVENUE — Key Findings</t>
        </is>
      </c>
    </row>
    <row r="5" ht="16" customHeight="1">
      <c r="B5" s="34" t="inlineStr">
        <is>
          <t>Measure: YTD Revenue = TOTALYTD( SUM(Sales[Revenue]), 'Date'[Date] )</t>
        </is>
      </c>
    </row>
    <row r="6" ht="16" customHeight="1">
      <c r="B6" s="35" t="inlineStr"/>
    </row>
    <row r="7" ht="16" customHeight="1">
      <c r="B7" s="36" t="inlineStr">
        <is>
          <t>• 2021 Q4 YTD: $730,561 — peak cumulative revenue across all years in dataset</t>
        </is>
      </c>
    </row>
    <row r="8" ht="16" customHeight="1">
      <c r="B8" s="36" t="inlineStr">
        <is>
          <t>• 2022 YTD declined to $701,017 (–4.0% vs 2021) — early signs of revenue contraction</t>
        </is>
      </c>
    </row>
    <row r="9" ht="16" customHeight="1">
      <c r="B9" s="36" t="inlineStr">
        <is>
          <t>• 2023 YTD: $675,165 — continued compression for second consecutive year (–3.7%)</t>
        </is>
      </c>
    </row>
    <row r="10" ht="16" customHeight="1">
      <c r="B10" s="36" t="inlineStr">
        <is>
          <t>• 2024 YTD: $691,434 — positive reversal signal, +2.4% recovery vs 2023</t>
        </is>
      </c>
    </row>
    <row r="11" ht="16" customHeight="1">
      <c r="B11" s="36" t="inlineStr">
        <is>
          <t>• Q1 YTD is the most volatile quarter: ranges from $144K (2024) to $181K (2020)</t>
        </is>
      </c>
    </row>
    <row r="12" ht="8" customHeight="1">
      <c r="B12" s="37" t="n"/>
    </row>
    <row r="13" ht="24" customHeight="1">
      <c r="B13" s="38" t="inlineStr">
        <is>
          <t xml:space="preserve">  YoY GROWTH % — Key Findings</t>
        </is>
      </c>
    </row>
    <row r="14" ht="16" customHeight="1">
      <c r="B14" s="39" t="inlineStr">
        <is>
          <t>Measure: YoY Growth % = DIVIDE([Total Rev] – CALCULATE([Total Rev], SAMEPERIODLASTYEAR('Date'[Date])), [Prior Rev])</t>
        </is>
      </c>
    </row>
    <row r="15" ht="16" customHeight="1">
      <c r="B15" s="35" t="inlineStr"/>
    </row>
    <row r="16" ht="16" customHeight="1">
      <c r="B16" s="36" t="inlineStr">
        <is>
          <t>• Largest positive swing: 2021 Q3 +41.2% — consulting recovery after COVID-impacted 2020 Q3</t>
        </is>
      </c>
    </row>
    <row r="17" ht="16" customHeight="1">
      <c r="B17" s="36" t="inlineStr">
        <is>
          <t>• Steepest decline: 2022 Q4 –40.6% — significant late-year revenue compression</t>
        </is>
      </c>
    </row>
    <row r="18" ht="16" customHeight="1">
      <c r="B18" s="36" t="inlineStr">
        <is>
          <t>• 2021 Q4 (+24.0%) and 2024 Q4 (+29.0%): both Q4 periods show strong recovery patterns</t>
        </is>
      </c>
    </row>
    <row r="19" ht="16" customHeight="1">
      <c r="B19" s="36" t="inlineStr">
        <is>
          <t>• 2023 Q2 saw –24.9% YoY: largest mid-year decline, suggesting pricing/volume pressure</t>
        </is>
      </c>
    </row>
    <row r="20" ht="16" customHeight="1">
      <c r="B20" s="36" t="inlineStr">
        <is>
          <t>• Annual trend: +6.7% (2021) → –4.0% (2022) → –3.7% (2023) → +2.4% (2024)</t>
        </is>
      </c>
    </row>
    <row r="21" ht="8" customHeight="1">
      <c r="B21" s="37" t="n"/>
    </row>
    <row r="22" ht="24" customHeight="1">
      <c r="B22" s="3" t="inlineStr">
        <is>
          <t xml:space="preserve">  WRITTEN SUMMARY — Time Intelligence &amp; Business Insight (~130 words)</t>
        </is>
      </c>
    </row>
    <row r="23" ht="16" customHeight="1">
      <c r="B23" s="36" t="inlineStr">
        <is>
          <t>Time intelligence measures transform raw transactional data into decision-ready trend narratives.</t>
        </is>
      </c>
    </row>
    <row r="24" ht="16" customHeight="1">
      <c r="B24" s="36" t="inlineStr">
        <is>
          <t>YTD Revenue, built with TOTALYTD, allows Apex Global executives to track cumulative progress</t>
        </is>
      </c>
    </row>
    <row r="25" ht="16" customHeight="1">
      <c r="B25" s="36" t="inlineStr">
        <is>
          <t>relative to prior-year run rates at any point in the fiscal year — critical for Q4 budget</t>
        </is>
      </c>
    </row>
    <row r="26" ht="16" customHeight="1">
      <c r="B26" s="36" t="inlineStr">
        <is>
          <t>reviews where full-year trajectory, not single-quarter snapshots, drives resource decisions.</t>
        </is>
      </c>
    </row>
    <row r="27" ht="16" customHeight="1">
      <c r="B27" s="35" t="inlineStr"/>
    </row>
    <row r="28" ht="16" customHeight="1">
      <c r="B28" s="36" t="inlineStr">
        <is>
          <t>YoY Growth %, powered by SAMEPERIODLASTYEAR, contextualizes volatility: 2022 Q3 showed</t>
        </is>
      </c>
    </row>
    <row r="29" ht="16" customHeight="1">
      <c r="B29" s="36" t="inlineStr">
        <is>
          <t>–15% YoY but followed an unusually strong 2021 Q3 (+41%). Without this comparative lens,</t>
        </is>
      </c>
    </row>
    <row r="30" ht="16" customHeight="1">
      <c r="B30" s="36" t="inlineStr">
        <is>
          <t>that decline appears alarming. The analysis reveals Apex experienced a 2-year contraction</t>
        </is>
      </c>
    </row>
    <row r="31" ht="16" customHeight="1">
      <c r="B31" s="36" t="inlineStr">
        <is>
          <t>(2022–2023, approx. –4% annually) followed by a 2024 recovery (+2.4% annually). Q4 2024</t>
        </is>
      </c>
    </row>
    <row r="32" ht="16" customHeight="1">
      <c r="B32" s="36" t="inlineStr">
        <is>
          <t>YoY of +29% signals the strongest end-of-year momentum since 2021. Time intelligence</t>
        </is>
      </c>
    </row>
    <row r="33" ht="16" customHeight="1">
      <c r="B33" s="36" t="inlineStr">
        <is>
          <t>converts numbers into actionable narratives executives can present and act on confidently.</t>
        </is>
      </c>
    </row>
    <row r="34" ht="16" customHeight="1">
      <c r="B34" s="35" t="inlineStr"/>
    </row>
    <row r="35" ht="16" customHeight="1">
      <c r="B35" s="40" t="inlineStr">
        <is>
          <t>Word count: ~130 words</t>
        </is>
      </c>
    </row>
    <row r="36" ht="8" customHeight="1">
      <c r="B36" s="37" t="n"/>
    </row>
    <row r="37" ht="24" customHeight="1">
      <c r="B37" s="41" t="inlineStr">
        <is>
          <t xml:space="preserve">  ANNUAL PERFORMANCE SCORECARD</t>
        </is>
      </c>
    </row>
    <row r="38" ht="16" customHeight="1">
      <c r="B38" s="42" t="inlineStr">
        <is>
          <t>Year 2020 | Revenue: $684,650 | YoY: Baseline  | Signal: 📌 Reference Year</t>
        </is>
      </c>
    </row>
    <row r="39" ht="16" customHeight="1">
      <c r="B39" s="43" t="inlineStr">
        <is>
          <t>Year 2021 | Revenue: $730,561 | YoY: +6.7%     | Signal: ✅ Peak Performance</t>
        </is>
      </c>
    </row>
    <row r="40" ht="16" customHeight="1">
      <c r="B40" s="44" t="inlineStr">
        <is>
          <t>Year 2022 | Revenue: $701,017 | YoY: –4.0%     | Signal: ⚠️  Revenue Contraction</t>
        </is>
      </c>
    </row>
    <row r="41" ht="16" customHeight="1">
      <c r="B41" s="44" t="inlineStr">
        <is>
          <t>Year 2023 | Revenue: $675,165 | YoY: –3.7%     | Signal: ⚠️  Continued Decline</t>
        </is>
      </c>
    </row>
    <row r="42" ht="16" customHeight="1">
      <c r="B42" s="43" t="inlineStr">
        <is>
          <t>Year 2024 | Revenue: $691,434 | YoY: +2.4%     | Signal: ✅ Recovery Confirmed</t>
        </is>
      </c>
    </row>
    <row r="43" ht="8" customHeight="1">
      <c r="B43" s="37" t="n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2026-04-13T05:40:24Z</dcterms:created>
  <dcterms:modified xmlns:dcterms="http://purl.org/dc/terms/" xmlns:xsi="http://www.w3.org/2001/XMLSchema-instance" xsi:type="dcterms:W3CDTF">2026-04-13T05:40:24Z</dcterms:modified>
</cp:coreProperties>
</file>